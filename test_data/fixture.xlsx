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1_F74961D96B7096CB0928F6628EDDDA657F977677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Schedule" sheetId="1" r:id="rId1"/>
    <sheet name="Loans" sheetId="2" r:id="rId2"/>
    <sheet name="Prices" sheetId="3" r:id="rId3"/>
    <sheet name="Events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K13" i="1"/>
  <c r="G13" i="1"/>
  <c r="H13" i="1"/>
  <c r="J13" i="1"/>
  <c r="M13" i="1"/>
  <c r="L13" i="1"/>
  <c r="I13" i="1"/>
  <c r="K12" i="1"/>
  <c r="G12" i="1"/>
  <c r="H12" i="1"/>
  <c r="J12" i="1"/>
  <c r="M12" i="1"/>
  <c r="L12" i="1"/>
  <c r="I12" i="1"/>
  <c r="K11" i="1"/>
  <c r="G11" i="1"/>
  <c r="H11" i="1"/>
  <c r="J11" i="1"/>
  <c r="M11" i="1"/>
  <c r="L11" i="1"/>
  <c r="I11" i="1"/>
  <c r="K10" i="1"/>
  <c r="G10" i="1"/>
  <c r="H10" i="1"/>
  <c r="J10" i="1"/>
  <c r="M10" i="1"/>
  <c r="L10" i="1"/>
  <c r="I10" i="1"/>
  <c r="K9" i="1"/>
  <c r="G9" i="1"/>
  <c r="H9" i="1"/>
  <c r="J9" i="1"/>
  <c r="M9" i="1"/>
  <c r="L9" i="1"/>
  <c r="I9" i="1"/>
  <c r="K8" i="1"/>
  <c r="G8" i="1"/>
  <c r="H8" i="1"/>
  <c r="J8" i="1"/>
  <c r="M8" i="1"/>
  <c r="L8" i="1"/>
  <c r="I8" i="1"/>
  <c r="K7" i="1"/>
  <c r="G7" i="1"/>
  <c r="H7" i="1"/>
  <c r="J7" i="1"/>
  <c r="M7" i="1"/>
  <c r="L7" i="1"/>
  <c r="I7" i="1"/>
  <c r="K6" i="1"/>
  <c r="G6" i="1"/>
  <c r="H6" i="1"/>
  <c r="J6" i="1"/>
  <c r="M6" i="1"/>
  <c r="L6" i="1"/>
  <c r="I6" i="1"/>
  <c r="K5" i="1"/>
  <c r="G5" i="1"/>
  <c r="H5" i="1"/>
  <c r="J5" i="1"/>
  <c r="M5" i="1"/>
  <c r="L5" i="1"/>
  <c r="I5" i="1"/>
  <c r="K4" i="1"/>
  <c r="G4" i="1"/>
  <c r="H4" i="1"/>
  <c r="J4" i="1"/>
  <c r="M4" i="1"/>
  <c r="L4" i="1"/>
  <c r="I4" i="1"/>
  <c r="K3" i="1"/>
  <c r="G3" i="1"/>
  <c r="H3" i="1"/>
  <c r="J3" i="1"/>
  <c r="M3" i="1"/>
  <c r="L3" i="1"/>
  <c r="I3" i="1"/>
  <c r="K2" i="1"/>
  <c r="G2" i="1"/>
  <c r="H2" i="1"/>
  <c r="J2" i="1"/>
  <c r="M2" i="1"/>
  <c r="L2" i="1"/>
  <c r="I2" i="1"/>
</calcChain>
</file>

<file path=xl/sharedStrings.xml><?xml version="1.0" encoding="utf-8"?>
<sst xmlns="http://schemas.openxmlformats.org/spreadsheetml/2006/main" count="118" uniqueCount="66">
  <si>
    <t>Year</t>
  </si>
  <si>
    <t>Type</t>
  </si>
  <si>
    <t>Shares</t>
  </si>
  <si>
    <t>Purchase Price</t>
  </si>
  <si>
    <t>Vesting Start Date</t>
  </si>
  <si>
    <t>Vesting Periods</t>
  </si>
  <si>
    <t>Passed Periods</t>
  </si>
  <si>
    <t>Vested Shares</t>
  </si>
  <si>
    <t>Unvested Shares</t>
  </si>
  <si>
    <t>Gains</t>
  </si>
  <si>
    <t>Original Purchase Price</t>
  </si>
  <si>
    <t>Post Vest Value</t>
  </si>
  <si>
    <t>Vested Value</t>
  </si>
  <si>
    <t>Exercise Date</t>
  </si>
  <si>
    <t>Down Payment Shares</t>
  </si>
  <si>
    <t>Purchase</t>
  </si>
  <si>
    <t>Catch-Up</t>
  </si>
  <si>
    <t>Bonus</t>
  </si>
  <si>
    <t>Free</t>
  </si>
  <si>
    <t>Loan number</t>
  </si>
  <si>
    <t>Grant Year</t>
  </si>
  <si>
    <t>Loan Type</t>
  </si>
  <si>
    <t>Loan year</t>
  </si>
  <si>
    <t>Amount</t>
  </si>
  <si>
    <t>Interest Rate</t>
  </si>
  <si>
    <t>Due</t>
  </si>
  <si>
    <t>Annual Interest</t>
  </si>
  <si>
    <t>001001</t>
  </si>
  <si>
    <t>001002</t>
  </si>
  <si>
    <t>Interest</t>
  </si>
  <si>
    <t>001003</t>
  </si>
  <si>
    <t>001004</t>
  </si>
  <si>
    <t>001005</t>
  </si>
  <si>
    <t>Tax</t>
  </si>
  <si>
    <t>001006</t>
  </si>
  <si>
    <t>001007</t>
  </si>
  <si>
    <t>002001</t>
  </si>
  <si>
    <t>002002</t>
  </si>
  <si>
    <t>002003</t>
  </si>
  <si>
    <t>002004</t>
  </si>
  <si>
    <t>002005</t>
  </si>
  <si>
    <t>002006</t>
  </si>
  <si>
    <t>003001</t>
  </si>
  <si>
    <t>003002</t>
  </si>
  <si>
    <t>003003</t>
  </si>
  <si>
    <t>004001</t>
  </si>
  <si>
    <t>004002</t>
  </si>
  <si>
    <t>005001</t>
  </si>
  <si>
    <t>005002</t>
  </si>
  <si>
    <t>006001</t>
  </si>
  <si>
    <t>Effective Date</t>
  </si>
  <si>
    <t>Share Price</t>
  </si>
  <si>
    <t>Event Date</t>
  </si>
  <si>
    <t>Grant Type</t>
  </si>
  <si>
    <t>Event Type</t>
  </si>
  <si>
    <t>Granted Shares</t>
  </si>
  <si>
    <t>Grant Price</t>
  </si>
  <si>
    <t>Exercise Price</t>
  </si>
  <si>
    <t>Tot Vested Shares</t>
  </si>
  <si>
    <t>Price Increase</t>
  </si>
  <si>
    <t>Income Gains</t>
  </si>
  <si>
    <t>Cumulative Income</t>
  </si>
  <si>
    <t>Vesting Cap Gains</t>
  </si>
  <si>
    <t>Price Increase Cap Gains</t>
  </si>
  <si>
    <t>Total Cap Gains</t>
  </si>
  <si>
    <t>Cumulative Cap Gains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</si>
</sst>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6" formatCode="mm/dd/yyyy"/>
    <numFmt numFmtId="167" formatCode="yyyy"/>
    <numFmt numFmtId="168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8989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6" fontId="2" fillId="0" borderId="0" xfId="0" applyNumberFormat="1" applyFont="1"/>
    <xf numFmtId="49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10" fontId="2" fillId="0" borderId="0" xfId="0" applyNumberFormat="1" applyFont="1"/>
    <xf numFmtId="14" fontId="2" fillId="0" borderId="0" xfId="0" applyNumberFormat="1" applyFont="1"/>
    <xf numFmtId="168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opLeftCell="K1" workbookViewId="0">
      <selection activeCell="P25" sqref="P25"/>
    </sheetView>
  </sheetViews>
  <sheetFormatPr defaultRowHeight="15" x14ac:dyDescent="0.2"/>
  <cols>
    <col min="5" max="5" width="18.83203125" customWidth="1"/>
    <col min="14" max="14" width="15.3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2019</v>
      </c>
      <c r="B2" s="2" t="s">
        <v>15</v>
      </c>
      <c r="C2" s="2">
        <v>30000</v>
      </c>
      <c r="D2" s="3">
        <v>1.5</v>
      </c>
      <c r="E2" s="4">
        <v>44362</v>
      </c>
      <c r="F2" s="2">
        <v>6</v>
      </c>
      <c r="G2">
        <f ca="1">MIN(IF((TODAY()-E2)&gt;0,INT(YEARFRAC(TODAY(),E2)+1),0),F2)</f>
        <v>5</v>
      </c>
      <c r="H2">
        <f ca="1">INT((G2/F2)*C2)</f>
        <v>25000</v>
      </c>
      <c r="I2">
        <f ca="1">C2-H2</f>
        <v>5000</v>
      </c>
      <c r="J2">
        <f ca="1">(INDEX(Prices!$B$2:$B$100,COUNTA(Prices!$B$2:$B$100))-D2)*H2</f>
        <v>89999.999999999985</v>
      </c>
      <c r="K2">
        <f>C2*D2</f>
        <v>45000</v>
      </c>
      <c r="L2">
        <f>C2*INDEX(Prices!$B$2:$B$100,COUNTA(Prices!$B$2:$B$100))</f>
        <v>153000</v>
      </c>
      <c r="M2">
        <f ca="1">K2+J2</f>
        <v>135000</v>
      </c>
      <c r="N2" s="4">
        <v>43830</v>
      </c>
      <c r="O2" s="2">
        <v>0</v>
      </c>
    </row>
    <row r="3" spans="1:15" x14ac:dyDescent="0.2">
      <c r="A3" s="2">
        <v>2019</v>
      </c>
      <c r="B3" s="2" t="s">
        <v>16</v>
      </c>
      <c r="C3" s="2">
        <v>7200</v>
      </c>
      <c r="D3" s="3">
        <v>0</v>
      </c>
      <c r="E3" s="4">
        <v>44362</v>
      </c>
      <c r="F3" s="2">
        <v>6</v>
      </c>
      <c r="G3">
        <f ca="1">MIN(IF((TODAY()-E3)&gt;0,INT(YEARFRAC(TODAY(),E3)+1),0),F3)</f>
        <v>5</v>
      </c>
      <c r="H3">
        <f ca="1">INT((G3/F3)*C3)</f>
        <v>6000</v>
      </c>
      <c r="I3">
        <f ca="1">C3-H3</f>
        <v>1200</v>
      </c>
      <c r="J3">
        <f ca="1">(INDEX(Prices!$B$2:$B$100,COUNTA(Prices!$B$2:$B$100))-D3)*H3</f>
        <v>30599.999999999996</v>
      </c>
      <c r="K3">
        <f>C3*D3</f>
        <v>0</v>
      </c>
      <c r="L3">
        <f>C3*INDEX(Prices!$B$2:$B$100,COUNTA(Prices!$B$2:$B$100))</f>
        <v>36720</v>
      </c>
      <c r="M3">
        <f ca="1">K3+J3</f>
        <v>30599.999999999996</v>
      </c>
      <c r="N3" s="4">
        <v>43830</v>
      </c>
      <c r="O3" s="2">
        <v>0</v>
      </c>
    </row>
    <row r="4" spans="1:15" x14ac:dyDescent="0.2">
      <c r="A4" s="2">
        <v>2020</v>
      </c>
      <c r="B4" s="2" t="s">
        <v>15</v>
      </c>
      <c r="C4" s="2">
        <v>50000</v>
      </c>
      <c r="D4" s="3">
        <v>1.85</v>
      </c>
      <c r="E4" s="4">
        <v>44727</v>
      </c>
      <c r="F4" s="2">
        <v>5</v>
      </c>
      <c r="G4">
        <f ca="1">MIN(IF((TODAY()-E4)&gt;0,INT(YEARFRAC(TODAY(),E4)+1),0),F4)</f>
        <v>4</v>
      </c>
      <c r="H4">
        <f ca="1">INT((G4/F4)*C4)</f>
        <v>40000</v>
      </c>
      <c r="I4">
        <f ca="1">C4-H4</f>
        <v>10000</v>
      </c>
      <c r="J4">
        <f ca="1">(INDEX(Prices!$B$2:$B$100,COUNTA(Prices!$B$2:$B$100))-D4)*H4</f>
        <v>129999.99999999999</v>
      </c>
      <c r="K4">
        <f>C4*D4</f>
        <v>92500</v>
      </c>
      <c r="L4">
        <f>C4*INDEX(Prices!$B$2:$B$100,COUNTA(Prices!$B$2:$B$100))</f>
        <v>254999.99999999997</v>
      </c>
      <c r="M4">
        <f ca="1">K4+J4</f>
        <v>222500</v>
      </c>
      <c r="N4" s="4">
        <v>44196</v>
      </c>
      <c r="O4" s="2">
        <v>0</v>
      </c>
    </row>
    <row r="5" spans="1:15" x14ac:dyDescent="0.2">
      <c r="A5" s="2">
        <v>2020</v>
      </c>
      <c r="B5" s="2" t="s">
        <v>17</v>
      </c>
      <c r="C5" s="2">
        <v>5000</v>
      </c>
      <c r="D5" s="3">
        <v>0</v>
      </c>
      <c r="E5" s="4">
        <v>44727</v>
      </c>
      <c r="F5" s="2">
        <v>4</v>
      </c>
      <c r="G5">
        <f ca="1">MIN(IF((TODAY()-E5)&gt;0,INT(YEARFRAC(TODAY(),E5)+1),0),F5)</f>
        <v>4</v>
      </c>
      <c r="H5">
        <f ca="1">INT((G5/F5)*C5)</f>
        <v>5000</v>
      </c>
      <c r="I5">
        <f ca="1">C5-H5</f>
        <v>0</v>
      </c>
      <c r="J5">
        <f ca="1">(INDEX(Prices!$B$2:$B$100,COUNTA(Prices!$B$2:$B$100))-D5)*H5</f>
        <v>25500</v>
      </c>
      <c r="K5">
        <f>C5*D5</f>
        <v>0</v>
      </c>
      <c r="L5">
        <f>C5*INDEX(Prices!$B$2:$B$100,COUNTA(Prices!$B$2:$B$100))</f>
        <v>25500</v>
      </c>
      <c r="M5">
        <f ca="1">K5+J5</f>
        <v>25500</v>
      </c>
      <c r="N5" s="4">
        <v>44196</v>
      </c>
      <c r="O5" s="2">
        <v>0</v>
      </c>
    </row>
    <row r="6" spans="1:15" x14ac:dyDescent="0.2">
      <c r="A6" s="2">
        <v>2021</v>
      </c>
      <c r="B6" s="2" t="s">
        <v>15</v>
      </c>
      <c r="C6" s="2">
        <v>80000</v>
      </c>
      <c r="D6" s="3">
        <v>2.2000000000000002</v>
      </c>
      <c r="E6" s="4">
        <v>45199</v>
      </c>
      <c r="F6" s="2">
        <v>5</v>
      </c>
      <c r="G6">
        <f ca="1">MIN(IF((TODAY()-E6)&gt;0,INT(YEARFRAC(TODAY(),E6)+1),0),F6)</f>
        <v>3</v>
      </c>
      <c r="H6">
        <f ca="1">INT((G6/F6)*C6)</f>
        <v>48000</v>
      </c>
      <c r="I6">
        <f ca="1">C6-H6</f>
        <v>32000</v>
      </c>
      <c r="J6">
        <f ca="1">(INDEX(Prices!$B$2:$B$100,COUNTA(Prices!$B$2:$B$100))-D6)*H6</f>
        <v>139199.99999999997</v>
      </c>
      <c r="K6">
        <f>C6*D6</f>
        <v>176000</v>
      </c>
      <c r="L6">
        <f>C6*INDEX(Prices!$B$2:$B$100,COUNTA(Prices!$B$2:$B$100))</f>
        <v>408000</v>
      </c>
      <c r="M6">
        <f ca="1">K6+J6</f>
        <v>315200</v>
      </c>
      <c r="N6" s="4">
        <v>44561</v>
      </c>
      <c r="O6" s="2">
        <v>0</v>
      </c>
    </row>
    <row r="7" spans="1:15" x14ac:dyDescent="0.2">
      <c r="A7" s="2">
        <v>2021</v>
      </c>
      <c r="B7" s="2" t="s">
        <v>17</v>
      </c>
      <c r="C7" s="2">
        <v>4000</v>
      </c>
      <c r="D7" s="3">
        <v>2.2000000000000002</v>
      </c>
      <c r="E7" s="4">
        <v>45199</v>
      </c>
      <c r="F7" s="2">
        <v>3</v>
      </c>
      <c r="G7">
        <f ca="1">MIN(IF((TODAY()-E7)&gt;0,INT(YEARFRAC(TODAY(),E7)+1),0),F7)</f>
        <v>3</v>
      </c>
      <c r="H7">
        <f ca="1">INT((G7/F7)*C7)</f>
        <v>4000</v>
      </c>
      <c r="I7">
        <f ca="1">C7-H7</f>
        <v>0</v>
      </c>
      <c r="J7">
        <f ca="1">(INDEX(Prices!$B$2:$B$100,COUNTA(Prices!$B$2:$B$100))-D7)*H7</f>
        <v>11599.999999999998</v>
      </c>
      <c r="K7">
        <f>C7*D7</f>
        <v>8800</v>
      </c>
      <c r="L7">
        <f>C7*INDEX(Prices!$B$2:$B$100,COUNTA(Prices!$B$2:$B$100))</f>
        <v>20400</v>
      </c>
      <c r="M7">
        <f ca="1">K7+J7</f>
        <v>20400</v>
      </c>
      <c r="N7" s="4">
        <v>44561</v>
      </c>
      <c r="O7" s="2">
        <v>0</v>
      </c>
    </row>
    <row r="8" spans="1:15" x14ac:dyDescent="0.2">
      <c r="A8" s="2">
        <v>2022</v>
      </c>
      <c r="B8" s="2" t="s">
        <v>15</v>
      </c>
      <c r="C8" s="2">
        <v>100000</v>
      </c>
      <c r="D8" s="3">
        <v>2.75</v>
      </c>
      <c r="E8" s="4">
        <v>45565</v>
      </c>
      <c r="F8" s="2">
        <v>4</v>
      </c>
      <c r="G8">
        <f ca="1">MIN(IF((TODAY()-E8)&gt;0,INT(YEARFRAC(TODAY(),E8)+1),0),F8)</f>
        <v>2</v>
      </c>
      <c r="H8">
        <f ca="1">INT((G8/F8)*C8)</f>
        <v>50000</v>
      </c>
      <c r="I8">
        <f ca="1">C8-H8</f>
        <v>50000</v>
      </c>
      <c r="J8">
        <f ca="1">(INDEX(Prices!$B$2:$B$100,COUNTA(Prices!$B$2:$B$100))-D8)*H8</f>
        <v>117499.99999999999</v>
      </c>
      <c r="K8">
        <f>C8*D8</f>
        <v>275000</v>
      </c>
      <c r="L8">
        <f>C8*INDEX(Prices!$B$2:$B$100,COUNTA(Prices!$B$2:$B$100))</f>
        <v>509999.99999999994</v>
      </c>
      <c r="M8">
        <f ca="1">K8+J8</f>
        <v>392500</v>
      </c>
      <c r="N8" s="4">
        <v>44926</v>
      </c>
      <c r="O8" s="2">
        <v>0</v>
      </c>
    </row>
    <row r="9" spans="1:15" x14ac:dyDescent="0.2">
      <c r="A9" s="2">
        <v>2022</v>
      </c>
      <c r="B9" s="2" t="s">
        <v>18</v>
      </c>
      <c r="C9" s="2">
        <v>20000</v>
      </c>
      <c r="D9" s="3">
        <v>0</v>
      </c>
      <c r="E9" s="4">
        <v>46660</v>
      </c>
      <c r="F9" s="2">
        <v>1</v>
      </c>
      <c r="G9">
        <f ca="1">MIN(IF((TODAY()-E9)&gt;0,INT(YEARFRAC(TODAY(),E9)+1),0),F9)</f>
        <v>0</v>
      </c>
      <c r="H9">
        <f ca="1">INT((G9/F9)*C9)</f>
        <v>0</v>
      </c>
      <c r="I9">
        <f ca="1">C9-H9</f>
        <v>20000</v>
      </c>
      <c r="J9">
        <f ca="1">(INDEX(Prices!$B$2:$B$100,COUNTA(Prices!$B$2:$B$100))-D9)*H9</f>
        <v>0</v>
      </c>
      <c r="K9">
        <f>C9*D9</f>
        <v>0</v>
      </c>
      <c r="L9">
        <f>C9*INDEX(Prices!$B$2:$B$100,COUNTA(Prices!$B$2:$B$100))</f>
        <v>102000</v>
      </c>
      <c r="M9">
        <f ca="1">K9+J9</f>
        <v>0</v>
      </c>
      <c r="N9" s="4">
        <v>44926</v>
      </c>
      <c r="O9" s="2">
        <v>0</v>
      </c>
    </row>
    <row r="10" spans="1:15" x14ac:dyDescent="0.2">
      <c r="A10" s="2">
        <v>2023</v>
      </c>
      <c r="B10" s="2" t="s">
        <v>15</v>
      </c>
      <c r="C10" s="2">
        <v>120000</v>
      </c>
      <c r="D10" s="3">
        <v>3.1</v>
      </c>
      <c r="E10" s="4">
        <v>45930</v>
      </c>
      <c r="F10" s="2">
        <v>4</v>
      </c>
      <c r="G10">
        <f ca="1">MIN(IF((TODAY()-E10)&gt;0,INT(YEARFRAC(TODAY(),E10)+1),0),F10)</f>
        <v>1</v>
      </c>
      <c r="H10">
        <f ca="1">INT((G10/F10)*C10)</f>
        <v>30000</v>
      </c>
      <c r="I10">
        <f ca="1">C10-H10</f>
        <v>90000</v>
      </c>
      <c r="J10">
        <f ca="1">(INDEX(Prices!$B$2:$B$100,COUNTA(Prices!$B$2:$B$100))-D10)*H10</f>
        <v>59999.999999999985</v>
      </c>
      <c r="K10">
        <f>C10*D10</f>
        <v>372000</v>
      </c>
      <c r="L10">
        <f>C10*INDEX(Prices!$B$2:$B$100,COUNTA(Prices!$B$2:$B$100))</f>
        <v>612000</v>
      </c>
      <c r="M10">
        <f ca="1">K10+J10</f>
        <v>432000</v>
      </c>
      <c r="N10" s="4">
        <v>45291</v>
      </c>
      <c r="O10" s="2">
        <v>0</v>
      </c>
    </row>
    <row r="11" spans="1:15" x14ac:dyDescent="0.2">
      <c r="A11" s="2">
        <v>2023</v>
      </c>
      <c r="B11" s="2" t="s">
        <v>17</v>
      </c>
      <c r="C11" s="2">
        <v>3500</v>
      </c>
      <c r="D11" s="3">
        <v>3.1</v>
      </c>
      <c r="E11" s="4">
        <v>45930</v>
      </c>
      <c r="F11" s="2">
        <v>3</v>
      </c>
      <c r="G11">
        <f ca="1">MIN(IF((TODAY()-E11)&gt;0,INT(YEARFRAC(TODAY(),E11)+1),0),F11)</f>
        <v>1</v>
      </c>
      <c r="H11">
        <f ca="1">INT((G11/F11)*C11)</f>
        <v>1166</v>
      </c>
      <c r="I11">
        <f ca="1">C11-H11</f>
        <v>2334</v>
      </c>
      <c r="J11">
        <f ca="1">(INDEX(Prices!$B$2:$B$100,COUNTA(Prices!$B$2:$B$100))-D11)*H11</f>
        <v>2331.9999999999995</v>
      </c>
      <c r="K11">
        <f>C11*D11</f>
        <v>10850</v>
      </c>
      <c r="L11">
        <f>C11*INDEX(Prices!$B$2:$B$100,COUNTA(Prices!$B$2:$B$100))</f>
        <v>17850</v>
      </c>
      <c r="M11">
        <f ca="1">K11+J11</f>
        <v>13182</v>
      </c>
      <c r="N11" s="4">
        <v>45291</v>
      </c>
      <c r="O11" s="2">
        <v>0</v>
      </c>
    </row>
    <row r="12" spans="1:15" x14ac:dyDescent="0.2">
      <c r="A12" s="2">
        <v>2024</v>
      </c>
      <c r="B12" s="2" t="s">
        <v>15</v>
      </c>
      <c r="C12" s="2">
        <v>150000</v>
      </c>
      <c r="D12" s="3">
        <v>3.6</v>
      </c>
      <c r="E12" s="4">
        <v>46295</v>
      </c>
      <c r="F12" s="2">
        <v>4</v>
      </c>
      <c r="G12">
        <f ca="1">MIN(IF((TODAY()-E12)&gt;0,INT(YEARFRAC(TODAY(),E12)+1),0),F12)</f>
        <v>0</v>
      </c>
      <c r="H12">
        <f ca="1">INT((G12/F12)*C12)</f>
        <v>0</v>
      </c>
      <c r="I12">
        <f ca="1">C12-H12</f>
        <v>150000</v>
      </c>
      <c r="J12">
        <f ca="1">(INDEX(Prices!$B$2:$B$100,COUNTA(Prices!$B$2:$B$100))-D12)*H12</f>
        <v>0</v>
      </c>
      <c r="K12">
        <f>C12*D12</f>
        <v>540000</v>
      </c>
      <c r="L12">
        <f>C12*INDEX(Prices!$B$2:$B$100,COUNTA(Prices!$B$2:$B$100))</f>
        <v>765000</v>
      </c>
      <c r="M12">
        <f ca="1">K12+J12</f>
        <v>540000</v>
      </c>
      <c r="N12" s="4">
        <v>45657</v>
      </c>
      <c r="O12" s="2">
        <v>-2000</v>
      </c>
    </row>
    <row r="13" spans="1:15" x14ac:dyDescent="0.2">
      <c r="A13" s="2">
        <v>2024</v>
      </c>
      <c r="B13" s="2" t="s">
        <v>17</v>
      </c>
      <c r="C13" s="2">
        <v>3800</v>
      </c>
      <c r="D13" s="3">
        <v>3.6</v>
      </c>
      <c r="E13" s="4">
        <v>46295</v>
      </c>
      <c r="F13" s="2">
        <v>3</v>
      </c>
      <c r="G13">
        <f ca="1">MIN(IF((TODAY()-E13)&gt;0,INT(YEARFRAC(TODAY(),E13)+1),0),F13)</f>
        <v>0</v>
      </c>
      <c r="H13">
        <f ca="1">INT((G13/F13)*C13)</f>
        <v>0</v>
      </c>
      <c r="I13">
        <f ca="1">C13-H13</f>
        <v>3800</v>
      </c>
      <c r="J13">
        <f ca="1">(INDEX(Prices!$B$2:$B$100,COUNTA(Prices!$B$2:$B$100))-D13)*H13</f>
        <v>0</v>
      </c>
      <c r="K13">
        <f>C13*D13</f>
        <v>13680</v>
      </c>
      <c r="L13">
        <f>C13*INDEX(Prices!$B$2:$B$100,COUNTA(Prices!$B$2:$B$100))</f>
        <v>19380</v>
      </c>
      <c r="M13">
        <f ca="1">K13+J13</f>
        <v>13680</v>
      </c>
      <c r="N13" s="4">
        <v>45657</v>
      </c>
      <c r="O13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opLeftCell="E1" workbookViewId="0">
      <selection activeCell="J30" sqref="J30"/>
    </sheetView>
  </sheetViews>
  <sheetFormatPr defaultRowHeight="15" x14ac:dyDescent="0.2"/>
  <cols>
    <col min="6" max="6" width="18.5625" customWidth="1"/>
  </cols>
  <sheetData>
    <row r="1" spans="1:9" x14ac:dyDescent="0.2">
      <c r="A1" s="1" t="s">
        <v>19</v>
      </c>
      <c r="B1" s="1" t="s">
        <v>20</v>
      </c>
      <c r="C1" s="1" t="s">
        <v>1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">
      <c r="A2" s="5" t="s">
        <v>27</v>
      </c>
      <c r="B2" s="2">
        <v>2019</v>
      </c>
      <c r="C2" s="2" t="s">
        <v>15</v>
      </c>
      <c r="D2" s="2" t="s">
        <v>15</v>
      </c>
      <c r="E2" s="6">
        <v>43466</v>
      </c>
      <c r="F2" s="7">
        <v>45000</v>
      </c>
      <c r="G2" s="8">
        <v>9.4999999999999998E-3</v>
      </c>
      <c r="H2" s="9">
        <v>46949</v>
      </c>
      <c r="I2" s="10">
        <f>G2*F2</f>
        <v>427.5</v>
      </c>
    </row>
    <row r="3" spans="1:9" x14ac:dyDescent="0.2">
      <c r="A3" s="5" t="s">
        <v>28</v>
      </c>
      <c r="B3" s="2">
        <v>2019</v>
      </c>
      <c r="C3" s="2" t="s">
        <v>15</v>
      </c>
      <c r="D3" s="2" t="s">
        <v>29</v>
      </c>
      <c r="E3" s="6">
        <v>44197</v>
      </c>
      <c r="F3" s="7">
        <v>520</v>
      </c>
      <c r="G3" s="8">
        <v>9.4999999999999998E-3</v>
      </c>
      <c r="H3" s="9">
        <v>46949</v>
      </c>
      <c r="I3" s="10">
        <f>G3*F3</f>
        <v>4.9399999999999995</v>
      </c>
    </row>
    <row r="4" spans="1:9" x14ac:dyDescent="0.2">
      <c r="A4" s="5" t="s">
        <v>30</v>
      </c>
      <c r="B4" s="2">
        <v>2019</v>
      </c>
      <c r="C4" s="2" t="s">
        <v>15</v>
      </c>
      <c r="D4" s="2" t="s">
        <v>29</v>
      </c>
      <c r="E4" s="6">
        <v>44562</v>
      </c>
      <c r="F4" s="7">
        <v>410.5</v>
      </c>
      <c r="G4" s="8">
        <v>0.02</v>
      </c>
      <c r="H4" s="9">
        <v>46949</v>
      </c>
      <c r="I4" s="10">
        <f>G4*F4</f>
        <v>8.2100000000000009</v>
      </c>
    </row>
    <row r="5" spans="1:9" x14ac:dyDescent="0.2">
      <c r="A5" s="5" t="s">
        <v>31</v>
      </c>
      <c r="B5" s="2">
        <v>2019</v>
      </c>
      <c r="C5" s="2" t="s">
        <v>15</v>
      </c>
      <c r="D5" s="2" t="s">
        <v>29</v>
      </c>
      <c r="E5" s="6">
        <v>44927</v>
      </c>
      <c r="F5" s="7">
        <v>680</v>
      </c>
      <c r="G5" s="8">
        <v>3.5000000000000003E-2</v>
      </c>
      <c r="H5" s="9">
        <v>46949</v>
      </c>
      <c r="I5" s="10">
        <f>G5*F5</f>
        <v>23.8</v>
      </c>
    </row>
    <row r="6" spans="1:9" x14ac:dyDescent="0.2">
      <c r="A6" s="5" t="s">
        <v>32</v>
      </c>
      <c r="B6" s="2">
        <v>2019</v>
      </c>
      <c r="C6" s="2" t="s">
        <v>16</v>
      </c>
      <c r="D6" s="2" t="s">
        <v>33</v>
      </c>
      <c r="E6" s="6">
        <v>44197</v>
      </c>
      <c r="F6" s="7">
        <v>1800</v>
      </c>
      <c r="G6" s="8">
        <v>9.4999999999999998E-3</v>
      </c>
      <c r="H6" s="9">
        <v>46949</v>
      </c>
      <c r="I6" s="10">
        <f>G6*F6</f>
        <v>17.099999999999998</v>
      </c>
    </row>
    <row r="7" spans="1:9" x14ac:dyDescent="0.2">
      <c r="A7" s="5" t="s">
        <v>34</v>
      </c>
      <c r="B7" s="2">
        <v>2019</v>
      </c>
      <c r="C7" s="2" t="s">
        <v>16</v>
      </c>
      <c r="D7" s="2" t="s">
        <v>33</v>
      </c>
      <c r="E7" s="6">
        <v>44562</v>
      </c>
      <c r="F7" s="7">
        <v>1950</v>
      </c>
      <c r="G7" s="8">
        <v>0.02</v>
      </c>
      <c r="H7" s="9">
        <v>46949</v>
      </c>
      <c r="I7" s="10">
        <f>G7*F7</f>
        <v>39</v>
      </c>
    </row>
    <row r="8" spans="1:9" x14ac:dyDescent="0.2">
      <c r="A8" s="5" t="s">
        <v>35</v>
      </c>
      <c r="B8" s="2">
        <v>2019</v>
      </c>
      <c r="C8" s="2" t="s">
        <v>16</v>
      </c>
      <c r="D8" s="2" t="s">
        <v>33</v>
      </c>
      <c r="E8" s="6">
        <v>44927</v>
      </c>
      <c r="F8" s="7">
        <v>2100</v>
      </c>
      <c r="G8" s="8">
        <v>3.5000000000000003E-2</v>
      </c>
      <c r="H8" s="9">
        <v>46949</v>
      </c>
      <c r="I8" s="10">
        <f>G8*F8</f>
        <v>73.5</v>
      </c>
    </row>
    <row r="9" spans="1:9" x14ac:dyDescent="0.2">
      <c r="A9" s="5" t="s">
        <v>36</v>
      </c>
      <c r="B9" s="2">
        <v>2020</v>
      </c>
      <c r="C9" s="2" t="s">
        <v>15</v>
      </c>
      <c r="D9" s="2" t="s">
        <v>15</v>
      </c>
      <c r="E9" s="6">
        <v>43831</v>
      </c>
      <c r="F9" s="7">
        <v>92500</v>
      </c>
      <c r="G9" s="8">
        <v>9.4999999999999998E-3</v>
      </c>
      <c r="H9" s="9">
        <v>47314</v>
      </c>
      <c r="I9" s="10">
        <f>G9*F9</f>
        <v>878.75</v>
      </c>
    </row>
    <row r="10" spans="1:9" x14ac:dyDescent="0.2">
      <c r="A10" s="5" t="s">
        <v>37</v>
      </c>
      <c r="B10" s="2">
        <v>2020</v>
      </c>
      <c r="C10" s="2" t="s">
        <v>15</v>
      </c>
      <c r="D10" s="2" t="s">
        <v>29</v>
      </c>
      <c r="E10" s="6">
        <v>44562</v>
      </c>
      <c r="F10" s="7">
        <v>850</v>
      </c>
      <c r="G10" s="8">
        <v>0.02</v>
      </c>
      <c r="H10" s="9">
        <v>47314</v>
      </c>
      <c r="I10" s="10">
        <f>G10*F10</f>
        <v>17</v>
      </c>
    </row>
    <row r="11" spans="1:9" x14ac:dyDescent="0.2">
      <c r="A11" s="5" t="s">
        <v>38</v>
      </c>
      <c r="B11" s="2">
        <v>2020</v>
      </c>
      <c r="C11" s="2" t="s">
        <v>15</v>
      </c>
      <c r="D11" s="2" t="s">
        <v>29</v>
      </c>
      <c r="E11" s="6">
        <v>44927</v>
      </c>
      <c r="F11" s="7">
        <v>1100</v>
      </c>
      <c r="G11" s="8">
        <v>3.5000000000000003E-2</v>
      </c>
      <c r="H11" s="9">
        <v>47314</v>
      </c>
      <c r="I11" s="10">
        <f>G11*F11</f>
        <v>38.500000000000007</v>
      </c>
    </row>
    <row r="12" spans="1:9" x14ac:dyDescent="0.2">
      <c r="A12" s="5" t="s">
        <v>39</v>
      </c>
      <c r="B12" s="2">
        <v>2020</v>
      </c>
      <c r="C12" s="2" t="s">
        <v>17</v>
      </c>
      <c r="D12" s="2" t="s">
        <v>33</v>
      </c>
      <c r="E12" s="6">
        <v>44562</v>
      </c>
      <c r="F12" s="7">
        <v>3200</v>
      </c>
      <c r="G12" s="8">
        <v>9.4999999999999998E-3</v>
      </c>
      <c r="H12" s="9">
        <v>47314</v>
      </c>
      <c r="I12" s="10">
        <f>G12*F12</f>
        <v>30.4</v>
      </c>
    </row>
    <row r="13" spans="1:9" x14ac:dyDescent="0.2">
      <c r="A13" s="5" t="s">
        <v>40</v>
      </c>
      <c r="B13" s="2">
        <v>2020</v>
      </c>
      <c r="C13" s="2" t="s">
        <v>17</v>
      </c>
      <c r="D13" s="2" t="s">
        <v>33</v>
      </c>
      <c r="E13" s="6">
        <v>44927</v>
      </c>
      <c r="F13" s="7">
        <v>3600</v>
      </c>
      <c r="G13" s="8">
        <v>3.5000000000000003E-2</v>
      </c>
      <c r="H13" s="9">
        <v>47314</v>
      </c>
      <c r="I13" s="10">
        <f>G13*F13</f>
        <v>126.00000000000001</v>
      </c>
    </row>
    <row r="14" spans="1:9" x14ac:dyDescent="0.2">
      <c r="A14" s="5" t="s">
        <v>41</v>
      </c>
      <c r="B14" s="2">
        <v>2020</v>
      </c>
      <c r="C14" s="2" t="s">
        <v>17</v>
      </c>
      <c r="D14" s="2" t="s">
        <v>29</v>
      </c>
      <c r="E14" s="6">
        <v>44927</v>
      </c>
      <c r="F14" s="7">
        <v>45</v>
      </c>
      <c r="G14" s="8">
        <v>3.5000000000000003E-2</v>
      </c>
      <c r="H14" s="9">
        <v>47314</v>
      </c>
      <c r="I14" s="10">
        <f>G14*F14</f>
        <v>1.5750000000000002</v>
      </c>
    </row>
    <row r="15" spans="1:9" x14ac:dyDescent="0.2">
      <c r="A15" s="5" t="s">
        <v>42</v>
      </c>
      <c r="B15" s="2">
        <v>2021</v>
      </c>
      <c r="C15" s="2" t="s">
        <v>15</v>
      </c>
      <c r="D15" s="2" t="s">
        <v>15</v>
      </c>
      <c r="E15" s="6">
        <v>44197</v>
      </c>
      <c r="F15" s="7">
        <v>176000</v>
      </c>
      <c r="G15" s="8">
        <v>9.4999999999999998E-3</v>
      </c>
      <c r="H15" s="9">
        <v>47679</v>
      </c>
      <c r="I15" s="10">
        <f>G15*F15</f>
        <v>1672</v>
      </c>
    </row>
    <row r="16" spans="1:9" x14ac:dyDescent="0.2">
      <c r="A16" s="5" t="s">
        <v>43</v>
      </c>
      <c r="B16" s="2">
        <v>2021</v>
      </c>
      <c r="C16" s="2" t="s">
        <v>15</v>
      </c>
      <c r="D16" s="2" t="s">
        <v>29</v>
      </c>
      <c r="E16" s="6">
        <v>44927</v>
      </c>
      <c r="F16" s="7">
        <v>1620</v>
      </c>
      <c r="G16" s="8">
        <v>3.5000000000000003E-2</v>
      </c>
      <c r="H16" s="9">
        <v>47679</v>
      </c>
      <c r="I16" s="10">
        <f>G16*F16</f>
        <v>56.7</v>
      </c>
    </row>
    <row r="17" spans="1:9" x14ac:dyDescent="0.2">
      <c r="A17" s="5" t="s">
        <v>44</v>
      </c>
      <c r="B17" s="2">
        <v>2021</v>
      </c>
      <c r="C17" s="2" t="s">
        <v>15</v>
      </c>
      <c r="D17" s="2" t="s">
        <v>29</v>
      </c>
      <c r="E17" s="6">
        <v>45292</v>
      </c>
      <c r="F17" s="7">
        <v>1890</v>
      </c>
      <c r="G17" s="8">
        <v>0.04</v>
      </c>
      <c r="H17" s="9">
        <v>47679</v>
      </c>
      <c r="I17" s="10">
        <f>G17*F17</f>
        <v>75.600000000000009</v>
      </c>
    </row>
    <row r="18" spans="1:9" x14ac:dyDescent="0.2">
      <c r="A18" s="5" t="s">
        <v>45</v>
      </c>
      <c r="B18" s="2">
        <v>2022</v>
      </c>
      <c r="C18" s="2" t="s">
        <v>15</v>
      </c>
      <c r="D18" s="2" t="s">
        <v>15</v>
      </c>
      <c r="E18" s="6">
        <v>44562</v>
      </c>
      <c r="F18" s="7">
        <v>275000</v>
      </c>
      <c r="G18" s="8">
        <v>0.02</v>
      </c>
      <c r="H18" s="9">
        <v>48029</v>
      </c>
      <c r="I18" s="10">
        <f>G18*F18</f>
        <v>5500</v>
      </c>
    </row>
    <row r="19" spans="1:9" x14ac:dyDescent="0.2">
      <c r="A19" s="5" t="s">
        <v>46</v>
      </c>
      <c r="B19" s="2">
        <v>2022</v>
      </c>
      <c r="C19" s="2" t="s">
        <v>15</v>
      </c>
      <c r="D19" s="2" t="s">
        <v>29</v>
      </c>
      <c r="E19" s="6">
        <v>45292</v>
      </c>
      <c r="F19" s="7">
        <v>5340</v>
      </c>
      <c r="G19" s="8">
        <v>0.04</v>
      </c>
      <c r="H19" s="9">
        <v>48029</v>
      </c>
      <c r="I19" s="10">
        <f>G19*F19</f>
        <v>213.6</v>
      </c>
    </row>
    <row r="20" spans="1:9" x14ac:dyDescent="0.2">
      <c r="A20" s="5" t="s">
        <v>47</v>
      </c>
      <c r="B20" s="2">
        <v>2023</v>
      </c>
      <c r="C20" s="2" t="s">
        <v>15</v>
      </c>
      <c r="D20" s="2" t="s">
        <v>15</v>
      </c>
      <c r="E20" s="6">
        <v>44927</v>
      </c>
      <c r="F20" s="7">
        <v>372000</v>
      </c>
      <c r="G20" s="8">
        <v>3.5000000000000003E-2</v>
      </c>
      <c r="H20" s="9">
        <v>48395</v>
      </c>
      <c r="I20" s="10">
        <f>G20*F20</f>
        <v>13020.000000000002</v>
      </c>
    </row>
    <row r="21" spans="1:9" x14ac:dyDescent="0.2">
      <c r="A21" s="5" t="s">
        <v>48</v>
      </c>
      <c r="B21" s="2">
        <v>2023</v>
      </c>
      <c r="C21" s="2" t="s">
        <v>15</v>
      </c>
      <c r="D21" s="2" t="s">
        <v>29</v>
      </c>
      <c r="E21" s="6">
        <v>45292</v>
      </c>
      <c r="F21" s="7">
        <v>12800</v>
      </c>
      <c r="G21" s="8">
        <v>0.04</v>
      </c>
      <c r="H21" s="9">
        <v>48395</v>
      </c>
      <c r="I21" s="10">
        <f>G21*F21</f>
        <v>512</v>
      </c>
    </row>
    <row r="22" spans="1:9" x14ac:dyDescent="0.2">
      <c r="A22" s="5" t="s">
        <v>49</v>
      </c>
      <c r="B22" s="2">
        <v>2024</v>
      </c>
      <c r="C22" s="2" t="s">
        <v>15</v>
      </c>
      <c r="D22" s="2" t="s">
        <v>15</v>
      </c>
      <c r="E22" s="6">
        <v>45292</v>
      </c>
      <c r="F22" s="7">
        <v>540000</v>
      </c>
      <c r="G22" s="8">
        <v>0.04</v>
      </c>
      <c r="H22" s="9">
        <v>48760</v>
      </c>
      <c r="I22" s="10">
        <f>G22*F22</f>
        <v>21600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/>
  </sheetViews>
  <sheetFormatPr defaultRowHeight="15" x14ac:dyDescent="0.2"/>
  <sheetData>
    <row r="1" spans="1:2" x14ac:dyDescent="0.2">
      <c r="A1" s="1" t="s">
        <v>50</v>
      </c>
      <c r="B1" s="1" t="s">
        <v>51</v>
      </c>
    </row>
    <row r="2" spans="1:2" x14ac:dyDescent="0.2">
      <c r="A2" s="4">
        <v>43830</v>
      </c>
      <c r="B2" s="3">
        <v>1.5</v>
      </c>
    </row>
    <row r="3" spans="1:2" x14ac:dyDescent="0.2">
      <c r="A3" s="4">
        <v>43891</v>
      </c>
      <c r="B3" s="3">
        <v>1.85</v>
      </c>
    </row>
    <row r="4" spans="1:2" x14ac:dyDescent="0.2">
      <c r="A4" s="4">
        <v>44256</v>
      </c>
      <c r="B4" s="3">
        <v>2.2000000000000002</v>
      </c>
    </row>
    <row r="5" spans="1:2" x14ac:dyDescent="0.2">
      <c r="A5" s="4">
        <v>44621</v>
      </c>
      <c r="B5" s="3">
        <v>2.75</v>
      </c>
    </row>
    <row r="6" spans="1:2" x14ac:dyDescent="0.2">
      <c r="A6" s="4">
        <v>44986</v>
      </c>
      <c r="B6" s="3">
        <v>3.1</v>
      </c>
    </row>
    <row r="7" spans="1:2" x14ac:dyDescent="0.2">
      <c r="A7" s="4">
        <v>45352</v>
      </c>
      <c r="B7" s="3">
        <v>3.6</v>
      </c>
    </row>
    <row r="8" spans="1:2" x14ac:dyDescent="0.2">
      <c r="A8" s="4">
        <v>45717</v>
      </c>
      <c r="B8" s="3">
        <v>4.25</v>
      </c>
    </row>
    <row r="9" spans="1:2" x14ac:dyDescent="0.2">
      <c r="A9" s="4">
        <v>46082</v>
      </c>
      <c r="B9" s="3">
        <v>5.0999999999999996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"/>
  <sheetViews>
    <sheetView workbookViewId="0"/>
  </sheetViews>
  <sheetFormatPr defaultRowHeight="15" x14ac:dyDescent="0.2"/>
  <sheetData>
    <row r="1" spans="1:17" x14ac:dyDescent="0.2">
      <c r="A1" s="11" t="s">
        <v>52</v>
      </c>
      <c r="B1" s="11" t="s">
        <v>20</v>
      </c>
      <c r="C1" s="11" t="s">
        <v>53</v>
      </c>
      <c r="D1" s="11" t="s">
        <v>54</v>
      </c>
      <c r="E1" s="11" t="s">
        <v>55</v>
      </c>
      <c r="F1" s="11" t="s">
        <v>56</v>
      </c>
      <c r="G1" s="11" t="s">
        <v>57</v>
      </c>
      <c r="H1" s="11" t="s">
        <v>7</v>
      </c>
      <c r="I1" s="11" t="s">
        <v>58</v>
      </c>
      <c r="J1" s="11" t="s">
        <v>59</v>
      </c>
      <c r="K1" s="11" t="s">
        <v>51</v>
      </c>
      <c r="L1" s="11" t="s">
        <v>60</v>
      </c>
      <c r="M1" s="11" t="s">
        <v>61</v>
      </c>
      <c r="N1" s="11" t="s">
        <v>62</v>
      </c>
      <c r="O1" s="11" t="s">
        <v>63</v>
      </c>
      <c r="P1" s="11" t="s">
        <v>64</v>
      </c>
      <c r="Q1" s="11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Loans</vt:lpstr>
      <vt:lpstr>Prices</vt:lpstr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2026-03-20T09:06:02Z</dcterms:created>
  <dcterms:modified xsi:type="dcterms:W3CDTF">2026-03-20T09:06:02Z</dcterms:modified>
</cp:coreProperties>
</file>