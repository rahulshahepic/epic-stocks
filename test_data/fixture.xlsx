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2" autoFilterDateGrouping="1"/>
  </bookViews>
  <sheets>
    <sheet name="Schedule" sheetId="1" state="visible" r:id="rId1"/>
    <sheet name="Loans" sheetId="2" state="visible" r:id="rId2"/>
    <sheet name="Prices" sheetId="3" state="visible" r:id="rId3"/>
    <sheet name="Events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\$#,##0.00"/>
    <numFmt numFmtId="165" formatCode="mm/dd/yyyy"/>
    <numFmt numFmtId="166" formatCode="yyyy"/>
    <numFmt numFmtId="167" formatCode="&quot;$&quot;#,##0.00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8989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49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0" fontId="2" fillId="0" borderId="0" pivotButton="0" quotePrefix="0" xfId="0"/>
    <xf numFmtId="14" fontId="2" fillId="0" borderId="0" pivotButton="0" quotePrefix="0" xfId="0"/>
    <xf numFmtId="167" fontId="0" fillId="0" borderId="0" pivotButton="0" quotePrefix="0" xfId="0"/>
    <xf numFmtId="0" fontId="1" fillId="2" borderId="0" pivotButton="0" quotePrefix="0" xfId="0"/>
    <xf numFmtId="165" fontId="2" fillId="0" borderId="0" pivotButton="0" quotePrefix="0" xfId="0"/>
    <xf numFmtId="165" fontId="0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"/>
  <sheetViews>
    <sheetView topLeftCell="K1" workbookViewId="0">
      <selection activeCell="P25" sqref="P25"/>
    </sheetView>
  </sheetViews>
  <sheetFormatPr baseColWidth="8" defaultRowHeight="15"/>
  <cols>
    <col width="18.83203125" customWidth="1" min="5" max="5"/>
    <col width="15.33203125" customWidth="1" min="14" max="14"/>
  </cols>
  <sheetData>
    <row r="1">
      <c r="A1" s="1" t="inlineStr">
        <is>
          <t>Year</t>
        </is>
      </c>
      <c r="B1" s="1" t="inlineStr">
        <is>
          <t>Type</t>
        </is>
      </c>
      <c r="C1" s="1" t="inlineStr">
        <is>
          <t>Shares</t>
        </is>
      </c>
      <c r="D1" s="1" t="inlineStr">
        <is>
          <t>Purchase Price</t>
        </is>
      </c>
      <c r="E1" s="1" t="inlineStr">
        <is>
          <t>Vesting Start Date</t>
        </is>
      </c>
      <c r="F1" s="1" t="inlineStr">
        <is>
          <t>Vesting Periods</t>
        </is>
      </c>
      <c r="G1" s="1" t="inlineStr">
        <is>
          <t>Exercise Date</t>
        </is>
      </c>
      <c r="H1" s="1" t="inlineStr">
        <is>
          <t>DP Shares</t>
        </is>
      </c>
      <c r="I1" s="1" t="inlineStr">
        <is>
          <t>Unvested Shares</t>
        </is>
      </c>
      <c r="J1" s="1" t="inlineStr">
        <is>
          <t>Gains</t>
        </is>
      </c>
      <c r="K1" s="1" t="inlineStr">
        <is>
          <t>Original Purchase Price</t>
        </is>
      </c>
      <c r="L1" s="1" t="inlineStr">
        <is>
          <t>Post Vest Value</t>
        </is>
      </c>
      <c r="M1" s="1" t="inlineStr">
        <is>
          <t>Vested Value</t>
        </is>
      </c>
      <c r="N1" s="1" t="inlineStr"/>
      <c r="O1" s="1" t="inlineStr"/>
    </row>
    <row r="2">
      <c r="A2" s="2" t="n">
        <v>2019</v>
      </c>
      <c r="B2" s="2" t="inlineStr">
        <is>
          <t>Purchase</t>
        </is>
      </c>
      <c r="C2" s="2" t="n">
        <v>30000</v>
      </c>
      <c r="D2" s="3" t="n">
        <v>1.5</v>
      </c>
      <c r="E2" s="12" t="n">
        <v>44362</v>
      </c>
      <c r="F2" s="2" t="n">
        <v>6</v>
      </c>
      <c r="G2" s="13" t="n">
        <v>43830</v>
      </c>
      <c r="H2" t="n">
        <v>0</v>
      </c>
      <c r="I2">
        <f>C2-H2</f>
        <v/>
      </c>
      <c r="J2">
        <f>(INDEX(Prices!$B$2:$B$100,COUNTA(Prices!$B$2:$B$100))-D2)*H2</f>
        <v/>
      </c>
      <c r="K2">
        <f>C2*D2</f>
        <v/>
      </c>
      <c r="L2">
        <f>C2*INDEX(Prices!$B$2:$B$100,COUNTA(Prices!$B$2:$B$100))</f>
        <v/>
      </c>
      <c r="M2">
        <f>K2+J2</f>
        <v/>
      </c>
      <c r="N2" s="12" t="n"/>
      <c r="O2" s="2" t="n"/>
    </row>
    <row r="3">
      <c r="A3" s="2" t="n">
        <v>2019</v>
      </c>
      <c r="B3" s="2" t="inlineStr">
        <is>
          <t>Catch-Up</t>
        </is>
      </c>
      <c r="C3" s="2" t="n">
        <v>7200</v>
      </c>
      <c r="D3" s="3" t="n">
        <v>0</v>
      </c>
      <c r="E3" s="12" t="n">
        <v>44362</v>
      </c>
      <c r="F3" s="2" t="n">
        <v>6</v>
      </c>
      <c r="G3" s="13" t="n">
        <v>43830</v>
      </c>
      <c r="H3" t="n">
        <v>0</v>
      </c>
      <c r="I3">
        <f>C3-H3</f>
        <v/>
      </c>
      <c r="J3">
        <f>(INDEX(Prices!$B$2:$B$100,COUNTA(Prices!$B$2:$B$100))-D3)*H3</f>
        <v/>
      </c>
      <c r="K3">
        <f>C3*D3</f>
        <v/>
      </c>
      <c r="L3">
        <f>C3*INDEX(Prices!$B$2:$B$100,COUNTA(Prices!$B$2:$B$100))</f>
        <v/>
      </c>
      <c r="M3">
        <f>K3+J3</f>
        <v/>
      </c>
      <c r="N3" s="12" t="n"/>
      <c r="O3" s="2" t="n"/>
    </row>
    <row r="4">
      <c r="A4" s="2" t="n">
        <v>2020</v>
      </c>
      <c r="B4" s="2" t="inlineStr">
        <is>
          <t>Purchase</t>
        </is>
      </c>
      <c r="C4" s="2" t="n">
        <v>50000</v>
      </c>
      <c r="D4" s="3" t="n">
        <v>1.85</v>
      </c>
      <c r="E4" s="12" t="n">
        <v>44727</v>
      </c>
      <c r="F4" s="2" t="n">
        <v>5</v>
      </c>
      <c r="G4" s="13" t="n">
        <v>44196</v>
      </c>
      <c r="H4" t="n">
        <v>0</v>
      </c>
      <c r="I4">
        <f>C4-H4</f>
        <v/>
      </c>
      <c r="J4">
        <f>(INDEX(Prices!$B$2:$B$100,COUNTA(Prices!$B$2:$B$100))-D4)*H4</f>
        <v/>
      </c>
      <c r="K4">
        <f>C4*D4</f>
        <v/>
      </c>
      <c r="L4">
        <f>C4*INDEX(Prices!$B$2:$B$100,COUNTA(Prices!$B$2:$B$100))</f>
        <v/>
      </c>
      <c r="M4">
        <f>K4+J4</f>
        <v/>
      </c>
      <c r="N4" s="12" t="n"/>
      <c r="O4" s="2" t="n"/>
    </row>
    <row r="5">
      <c r="A5" s="2" t="n">
        <v>2020</v>
      </c>
      <c r="B5" s="2" t="inlineStr">
        <is>
          <t>Bonus</t>
        </is>
      </c>
      <c r="C5" s="2" t="n">
        <v>5000</v>
      </c>
      <c r="D5" s="3" t="n">
        <v>0</v>
      </c>
      <c r="E5" s="12" t="n">
        <v>44727</v>
      </c>
      <c r="F5" s="2" t="n">
        <v>4</v>
      </c>
      <c r="G5" s="13" t="n">
        <v>44196</v>
      </c>
      <c r="H5" t="n">
        <v>0</v>
      </c>
      <c r="I5">
        <f>C5-H5</f>
        <v/>
      </c>
      <c r="J5">
        <f>(INDEX(Prices!$B$2:$B$100,COUNTA(Prices!$B$2:$B$100))-D5)*H5</f>
        <v/>
      </c>
      <c r="K5">
        <f>C5*D5</f>
        <v/>
      </c>
      <c r="L5">
        <f>C5*INDEX(Prices!$B$2:$B$100,COUNTA(Prices!$B$2:$B$100))</f>
        <v/>
      </c>
      <c r="M5">
        <f>K5+J5</f>
        <v/>
      </c>
      <c r="N5" s="12" t="n"/>
      <c r="O5" s="2" t="n"/>
    </row>
    <row r="6">
      <c r="A6" s="2" t="n">
        <v>2021</v>
      </c>
      <c r="B6" s="2" t="inlineStr">
        <is>
          <t>Purchase</t>
        </is>
      </c>
      <c r="C6" s="2" t="n">
        <v>80000</v>
      </c>
      <c r="D6" s="3" t="n">
        <v>2.2</v>
      </c>
      <c r="E6" s="12" t="n">
        <v>45199</v>
      </c>
      <c r="F6" s="2" t="n">
        <v>5</v>
      </c>
      <c r="G6" s="13" t="n">
        <v>44561</v>
      </c>
      <c r="H6" t="n">
        <v>0</v>
      </c>
      <c r="I6">
        <f>C6-H6</f>
        <v/>
      </c>
      <c r="J6">
        <f>(INDEX(Prices!$B$2:$B$100,COUNTA(Prices!$B$2:$B$100))-D6)*H6</f>
        <v/>
      </c>
      <c r="K6">
        <f>C6*D6</f>
        <v/>
      </c>
      <c r="L6">
        <f>C6*INDEX(Prices!$B$2:$B$100,COUNTA(Prices!$B$2:$B$100))</f>
        <v/>
      </c>
      <c r="M6">
        <f>K6+J6</f>
        <v/>
      </c>
      <c r="N6" s="12" t="n"/>
      <c r="O6" s="2" t="n"/>
    </row>
    <row r="7">
      <c r="A7" s="2" t="n">
        <v>2021</v>
      </c>
      <c r="B7" s="2" t="inlineStr">
        <is>
          <t>Bonus</t>
        </is>
      </c>
      <c r="C7" s="2" t="n">
        <v>4000</v>
      </c>
      <c r="D7" s="3" t="n">
        <v>2.2</v>
      </c>
      <c r="E7" s="12" t="n">
        <v>45199</v>
      </c>
      <c r="F7" s="2" t="n">
        <v>3</v>
      </c>
      <c r="G7" s="13" t="n">
        <v>44561</v>
      </c>
      <c r="H7" t="n">
        <v>0</v>
      </c>
      <c r="I7">
        <f>C7-H7</f>
        <v/>
      </c>
      <c r="J7">
        <f>(INDEX(Prices!$B$2:$B$100,COUNTA(Prices!$B$2:$B$100))-D7)*H7</f>
        <v/>
      </c>
      <c r="K7">
        <f>C7*D7</f>
        <v/>
      </c>
      <c r="L7">
        <f>C7*INDEX(Prices!$B$2:$B$100,COUNTA(Prices!$B$2:$B$100))</f>
        <v/>
      </c>
      <c r="M7">
        <f>K7+J7</f>
        <v/>
      </c>
      <c r="N7" s="12" t="n"/>
      <c r="O7" s="2" t="n"/>
    </row>
    <row r="8">
      <c r="A8" s="2" t="n">
        <v>2022</v>
      </c>
      <c r="B8" s="2" t="inlineStr">
        <is>
          <t>Purchase</t>
        </is>
      </c>
      <c r="C8" s="2" t="n">
        <v>100000</v>
      </c>
      <c r="D8" s="3" t="n">
        <v>2.75</v>
      </c>
      <c r="E8" s="12" t="n">
        <v>45565</v>
      </c>
      <c r="F8" s="2" t="n">
        <v>4</v>
      </c>
      <c r="G8" s="13" t="n">
        <v>44926</v>
      </c>
      <c r="H8" t="n">
        <v>0</v>
      </c>
      <c r="I8">
        <f>C8-H8</f>
        <v/>
      </c>
      <c r="J8">
        <f>(INDEX(Prices!$B$2:$B$100,COUNTA(Prices!$B$2:$B$100))-D8)*H8</f>
        <v/>
      </c>
      <c r="K8">
        <f>C8*D8</f>
        <v/>
      </c>
      <c r="L8">
        <f>C8*INDEX(Prices!$B$2:$B$100,COUNTA(Prices!$B$2:$B$100))</f>
        <v/>
      </c>
      <c r="M8">
        <f>K8+J8</f>
        <v/>
      </c>
      <c r="N8" s="12" t="n"/>
      <c r="O8" s="2" t="n"/>
    </row>
    <row r="9">
      <c r="A9" s="2" t="n">
        <v>2022</v>
      </c>
      <c r="B9" s="2" t="inlineStr">
        <is>
          <t>Free</t>
        </is>
      </c>
      <c r="C9" s="2" t="n">
        <v>20000</v>
      </c>
      <c r="D9" s="3" t="n">
        <v>0</v>
      </c>
      <c r="E9" s="12" t="n">
        <v>46660</v>
      </c>
      <c r="F9" s="2" t="n">
        <v>1</v>
      </c>
      <c r="G9" s="13" t="n">
        <v>44926</v>
      </c>
      <c r="H9" t="n">
        <v>0</v>
      </c>
      <c r="I9">
        <f>C9-H9</f>
        <v/>
      </c>
      <c r="J9">
        <f>(INDEX(Prices!$B$2:$B$100,COUNTA(Prices!$B$2:$B$100))-D9)*H9</f>
        <v/>
      </c>
      <c r="K9">
        <f>C9*D9</f>
        <v/>
      </c>
      <c r="L9">
        <f>C9*INDEX(Prices!$B$2:$B$100,COUNTA(Prices!$B$2:$B$100))</f>
        <v/>
      </c>
      <c r="M9">
        <f>K9+J9</f>
        <v/>
      </c>
      <c r="N9" s="12" t="n"/>
      <c r="O9" s="2" t="n"/>
    </row>
    <row r="10">
      <c r="A10" s="2" t="n">
        <v>2023</v>
      </c>
      <c r="B10" s="2" t="inlineStr">
        <is>
          <t>Purchase</t>
        </is>
      </c>
      <c r="C10" s="2" t="n">
        <v>120000</v>
      </c>
      <c r="D10" s="3" t="n">
        <v>3.1</v>
      </c>
      <c r="E10" s="12" t="n">
        <v>45930</v>
      </c>
      <c r="F10" s="2" t="n">
        <v>4</v>
      </c>
      <c r="G10" s="13" t="n">
        <v>45291</v>
      </c>
      <c r="H10" t="n">
        <v>0</v>
      </c>
      <c r="I10">
        <f>C10-H10</f>
        <v/>
      </c>
      <c r="J10">
        <f>(INDEX(Prices!$B$2:$B$100,COUNTA(Prices!$B$2:$B$100))-D10)*H10</f>
        <v/>
      </c>
      <c r="K10">
        <f>C10*D10</f>
        <v/>
      </c>
      <c r="L10">
        <f>C10*INDEX(Prices!$B$2:$B$100,COUNTA(Prices!$B$2:$B$100))</f>
        <v/>
      </c>
      <c r="M10">
        <f>K10+J10</f>
        <v/>
      </c>
      <c r="N10" s="12" t="n"/>
      <c r="O10" s="2" t="n"/>
    </row>
    <row r="11">
      <c r="A11" s="2" t="n">
        <v>2023</v>
      </c>
      <c r="B11" s="2" t="inlineStr">
        <is>
          <t>Bonus</t>
        </is>
      </c>
      <c r="C11" s="2" t="n">
        <v>3500</v>
      </c>
      <c r="D11" s="3" t="n">
        <v>3.1</v>
      </c>
      <c r="E11" s="12" t="n">
        <v>45930</v>
      </c>
      <c r="F11" s="2" t="n">
        <v>3</v>
      </c>
      <c r="G11" s="13" t="n">
        <v>45291</v>
      </c>
      <c r="H11" t="n">
        <v>0</v>
      </c>
      <c r="I11">
        <f>C11-H11</f>
        <v/>
      </c>
      <c r="J11">
        <f>(INDEX(Prices!$B$2:$B$100,COUNTA(Prices!$B$2:$B$100))-D11)*H11</f>
        <v/>
      </c>
      <c r="K11">
        <f>C11*D11</f>
        <v/>
      </c>
      <c r="L11">
        <f>C11*INDEX(Prices!$B$2:$B$100,COUNTA(Prices!$B$2:$B$100))</f>
        <v/>
      </c>
      <c r="M11">
        <f>K11+J11</f>
        <v/>
      </c>
      <c r="N11" s="12" t="n"/>
      <c r="O11" s="2" t="n"/>
    </row>
    <row r="12">
      <c r="A12" s="2" t="n">
        <v>2024</v>
      </c>
      <c r="B12" s="2" t="inlineStr">
        <is>
          <t>Purchase</t>
        </is>
      </c>
      <c r="C12" s="2" t="n">
        <v>150000</v>
      </c>
      <c r="D12" s="3" t="n">
        <v>3.6</v>
      </c>
      <c r="E12" s="12" t="n">
        <v>46295</v>
      </c>
      <c r="F12" s="2" t="n">
        <v>4</v>
      </c>
      <c r="G12" s="13" t="n">
        <v>45657</v>
      </c>
      <c r="H12" t="n">
        <v>-15000</v>
      </c>
      <c r="I12">
        <f>C12-H12</f>
        <v/>
      </c>
      <c r="J12">
        <f>(INDEX(Prices!$B$2:$B$100,COUNTA(Prices!$B$2:$B$100))-D12)*H12</f>
        <v/>
      </c>
      <c r="K12">
        <f>C12*D12</f>
        <v/>
      </c>
      <c r="L12">
        <f>C12*INDEX(Prices!$B$2:$B$100,COUNTA(Prices!$B$2:$B$100))</f>
        <v/>
      </c>
      <c r="M12">
        <f>K12+J12</f>
        <v/>
      </c>
      <c r="N12" s="12" t="n"/>
      <c r="O12" s="2" t="n"/>
    </row>
    <row r="13">
      <c r="A13" s="2" t="n">
        <v>2024</v>
      </c>
      <c r="B13" s="2" t="inlineStr">
        <is>
          <t>Bonus</t>
        </is>
      </c>
      <c r="C13" s="2" t="n">
        <v>3800</v>
      </c>
      <c r="D13" s="3" t="n">
        <v>3.6</v>
      </c>
      <c r="E13" s="12" t="n">
        <v>46295</v>
      </c>
      <c r="F13" s="2" t="n">
        <v>3</v>
      </c>
      <c r="G13" s="13" t="n">
        <v>45657</v>
      </c>
      <c r="H13" t="n">
        <v>0</v>
      </c>
      <c r="I13">
        <f>C13-H13</f>
        <v/>
      </c>
      <c r="J13">
        <f>(INDEX(Prices!$B$2:$B$100,COUNTA(Prices!$B$2:$B$100))-D13)*H13</f>
        <v/>
      </c>
      <c r="K13">
        <f>C13*D13</f>
        <v/>
      </c>
      <c r="L13">
        <f>C13*INDEX(Prices!$B$2:$B$100,COUNTA(Prices!$B$2:$B$100))</f>
        <v/>
      </c>
      <c r="M13">
        <f>K13+J13</f>
        <v/>
      </c>
      <c r="N13" s="12" t="n"/>
      <c r="O13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"/>
  <sheetViews>
    <sheetView topLeftCell="E1" workbookViewId="0">
      <selection activeCell="J30" sqref="J30"/>
    </sheetView>
  </sheetViews>
  <sheetFormatPr baseColWidth="8" defaultRowHeight="15"/>
  <cols>
    <col width="18.5625" customWidth="1" min="6" max="6"/>
  </cols>
  <sheetData>
    <row r="1">
      <c r="A1" s="1" t="inlineStr">
        <is>
          <t>Loan number</t>
        </is>
      </c>
      <c r="B1" s="1" t="inlineStr">
        <is>
          <t>Grant Year</t>
        </is>
      </c>
      <c r="C1" s="1" t="inlineStr">
        <is>
          <t>Type</t>
        </is>
      </c>
      <c r="D1" s="1" t="inlineStr">
        <is>
          <t>Loan Type</t>
        </is>
      </c>
      <c r="E1" s="1" t="inlineStr">
        <is>
          <t>Loan year</t>
        </is>
      </c>
      <c r="F1" s="1" t="inlineStr">
        <is>
          <t>Amount</t>
        </is>
      </c>
      <c r="G1" s="1" t="inlineStr">
        <is>
          <t>Interest Rate</t>
        </is>
      </c>
      <c r="H1" s="1" t="inlineStr">
        <is>
          <t>Due</t>
        </is>
      </c>
      <c r="I1" s="1" t="inlineStr">
        <is>
          <t>Annual Interest</t>
        </is>
      </c>
    </row>
    <row r="2">
      <c r="A2" s="5" t="inlineStr">
        <is>
          <t>001001</t>
        </is>
      </c>
      <c r="B2" s="2" t="n">
        <v>2019</v>
      </c>
      <c r="C2" s="2" t="inlineStr">
        <is>
          <t>Purchase</t>
        </is>
      </c>
      <c r="D2" s="2" t="inlineStr">
        <is>
          <t>Purchase</t>
        </is>
      </c>
      <c r="E2" s="14" t="n">
        <v>43466</v>
      </c>
      <c r="F2" s="15" t="n">
        <v>45000</v>
      </c>
      <c r="G2" s="8" t="n">
        <v>0.0095</v>
      </c>
      <c r="H2" s="9" t="n">
        <v>46949</v>
      </c>
      <c r="I2" s="16">
        <f>G2*F2</f>
        <v/>
      </c>
    </row>
    <row r="3">
      <c r="A3" s="5" t="inlineStr">
        <is>
          <t>001002</t>
        </is>
      </c>
      <c r="B3" s="2" t="n">
        <v>2019</v>
      </c>
      <c r="C3" s="2" t="inlineStr">
        <is>
          <t>Purchase</t>
        </is>
      </c>
      <c r="D3" s="2" t="inlineStr">
        <is>
          <t>Interest</t>
        </is>
      </c>
      <c r="E3" s="14" t="n">
        <v>44197</v>
      </c>
      <c r="F3" s="15" t="n">
        <v>520</v>
      </c>
      <c r="G3" s="8" t="n">
        <v>0.0095</v>
      </c>
      <c r="H3" s="9" t="n">
        <v>46949</v>
      </c>
      <c r="I3" s="16">
        <f>G3*F3</f>
        <v/>
      </c>
    </row>
    <row r="4">
      <c r="A4" s="5" t="inlineStr">
        <is>
          <t>001003</t>
        </is>
      </c>
      <c r="B4" s="2" t="n">
        <v>2019</v>
      </c>
      <c r="C4" s="2" t="inlineStr">
        <is>
          <t>Purchase</t>
        </is>
      </c>
      <c r="D4" s="2" t="inlineStr">
        <is>
          <t>Interest</t>
        </is>
      </c>
      <c r="E4" s="14" t="n">
        <v>44562</v>
      </c>
      <c r="F4" s="15" t="n">
        <v>410.5</v>
      </c>
      <c r="G4" s="8" t="n">
        <v>0.02</v>
      </c>
      <c r="H4" s="9" t="n">
        <v>46949</v>
      </c>
      <c r="I4" s="16">
        <f>G4*F4</f>
        <v/>
      </c>
    </row>
    <row r="5">
      <c r="A5" s="5" t="inlineStr">
        <is>
          <t>001004</t>
        </is>
      </c>
      <c r="B5" s="2" t="n">
        <v>2019</v>
      </c>
      <c r="C5" s="2" t="inlineStr">
        <is>
          <t>Purchase</t>
        </is>
      </c>
      <c r="D5" s="2" t="inlineStr">
        <is>
          <t>Interest</t>
        </is>
      </c>
      <c r="E5" s="14" t="n">
        <v>44927</v>
      </c>
      <c r="F5" s="15" t="n">
        <v>680</v>
      </c>
      <c r="G5" s="8" t="n">
        <v>0.035</v>
      </c>
      <c r="H5" s="9" t="n">
        <v>46949</v>
      </c>
      <c r="I5" s="16">
        <f>G5*F5</f>
        <v/>
      </c>
    </row>
    <row r="6">
      <c r="A6" s="5" t="inlineStr">
        <is>
          <t>001005</t>
        </is>
      </c>
      <c r="B6" s="2" t="n">
        <v>2019</v>
      </c>
      <c r="C6" s="2" t="inlineStr">
        <is>
          <t>Catch-Up</t>
        </is>
      </c>
      <c r="D6" s="2" t="inlineStr">
        <is>
          <t>Tax</t>
        </is>
      </c>
      <c r="E6" s="14" t="n">
        <v>44197</v>
      </c>
      <c r="F6" s="15" t="n">
        <v>1800</v>
      </c>
      <c r="G6" s="8" t="n">
        <v>0.0095</v>
      </c>
      <c r="H6" s="9" t="n">
        <v>46949</v>
      </c>
      <c r="I6" s="16">
        <f>G6*F6</f>
        <v/>
      </c>
    </row>
    <row r="7">
      <c r="A7" s="5" t="inlineStr">
        <is>
          <t>001006</t>
        </is>
      </c>
      <c r="B7" s="2" t="n">
        <v>2019</v>
      </c>
      <c r="C7" s="2" t="inlineStr">
        <is>
          <t>Catch-Up</t>
        </is>
      </c>
      <c r="D7" s="2" t="inlineStr">
        <is>
          <t>Tax</t>
        </is>
      </c>
      <c r="E7" s="14" t="n">
        <v>44562</v>
      </c>
      <c r="F7" s="15" t="n">
        <v>1950</v>
      </c>
      <c r="G7" s="8" t="n">
        <v>0.02</v>
      </c>
      <c r="H7" s="9" t="n">
        <v>46949</v>
      </c>
      <c r="I7" s="16">
        <f>G7*F7</f>
        <v/>
      </c>
    </row>
    <row r="8">
      <c r="A8" s="5" t="inlineStr">
        <is>
          <t>001007</t>
        </is>
      </c>
      <c r="B8" s="2" t="n">
        <v>2019</v>
      </c>
      <c r="C8" s="2" t="inlineStr">
        <is>
          <t>Catch-Up</t>
        </is>
      </c>
      <c r="D8" s="2" t="inlineStr">
        <is>
          <t>Tax</t>
        </is>
      </c>
      <c r="E8" s="14" t="n">
        <v>44927</v>
      </c>
      <c r="F8" s="15" t="n">
        <v>2100</v>
      </c>
      <c r="G8" s="8" t="n">
        <v>0.035</v>
      </c>
      <c r="H8" s="9" t="n">
        <v>46949</v>
      </c>
      <c r="I8" s="16">
        <f>G8*F8</f>
        <v/>
      </c>
    </row>
    <row r="9">
      <c r="A9" s="5" t="inlineStr">
        <is>
          <t>002001</t>
        </is>
      </c>
      <c r="B9" s="2" t="n">
        <v>2020</v>
      </c>
      <c r="C9" s="2" t="inlineStr">
        <is>
          <t>Purchase</t>
        </is>
      </c>
      <c r="D9" s="2" t="inlineStr">
        <is>
          <t>Purchase</t>
        </is>
      </c>
      <c r="E9" s="14" t="n">
        <v>43831</v>
      </c>
      <c r="F9" s="15" t="n">
        <v>92500</v>
      </c>
      <c r="G9" s="8" t="n">
        <v>0.0095</v>
      </c>
      <c r="H9" s="9" t="n">
        <v>47314</v>
      </c>
      <c r="I9" s="16">
        <f>G9*F9</f>
        <v/>
      </c>
    </row>
    <row r="10">
      <c r="A10" s="5" t="inlineStr">
        <is>
          <t>002002</t>
        </is>
      </c>
      <c r="B10" s="2" t="n">
        <v>2020</v>
      </c>
      <c r="C10" s="2" t="inlineStr">
        <is>
          <t>Purchase</t>
        </is>
      </c>
      <c r="D10" s="2" t="inlineStr">
        <is>
          <t>Interest</t>
        </is>
      </c>
      <c r="E10" s="14" t="n">
        <v>44562</v>
      </c>
      <c r="F10" s="15" t="n">
        <v>850</v>
      </c>
      <c r="G10" s="8" t="n">
        <v>0.02</v>
      </c>
      <c r="H10" s="9" t="n">
        <v>47314</v>
      </c>
      <c r="I10" s="16">
        <f>G10*F10</f>
        <v/>
      </c>
    </row>
    <row r="11">
      <c r="A11" s="5" t="inlineStr">
        <is>
          <t>002003</t>
        </is>
      </c>
      <c r="B11" s="2" t="n">
        <v>2020</v>
      </c>
      <c r="C11" s="2" t="inlineStr">
        <is>
          <t>Purchase</t>
        </is>
      </c>
      <c r="D11" s="2" t="inlineStr">
        <is>
          <t>Interest</t>
        </is>
      </c>
      <c r="E11" s="14" t="n">
        <v>44927</v>
      </c>
      <c r="F11" s="15" t="n">
        <v>1100</v>
      </c>
      <c r="G11" s="8" t="n">
        <v>0.035</v>
      </c>
      <c r="H11" s="9" t="n">
        <v>47314</v>
      </c>
      <c r="I11" s="16">
        <f>G11*F11</f>
        <v/>
      </c>
    </row>
    <row r="12">
      <c r="A12" s="5" t="inlineStr">
        <is>
          <t>002004</t>
        </is>
      </c>
      <c r="B12" s="2" t="n">
        <v>2020</v>
      </c>
      <c r="C12" s="2" t="inlineStr">
        <is>
          <t>Bonus</t>
        </is>
      </c>
      <c r="D12" s="2" t="inlineStr">
        <is>
          <t>Tax</t>
        </is>
      </c>
      <c r="E12" s="14" t="n">
        <v>44562</v>
      </c>
      <c r="F12" s="15" t="n">
        <v>3200</v>
      </c>
      <c r="G12" s="8" t="n">
        <v>0.0095</v>
      </c>
      <c r="H12" s="9" t="n">
        <v>47314</v>
      </c>
      <c r="I12" s="16">
        <f>G12*F12</f>
        <v/>
      </c>
    </row>
    <row r="13">
      <c r="A13" s="5" t="inlineStr">
        <is>
          <t>002005</t>
        </is>
      </c>
      <c r="B13" s="2" t="n">
        <v>2020</v>
      </c>
      <c r="C13" s="2" t="inlineStr">
        <is>
          <t>Bonus</t>
        </is>
      </c>
      <c r="D13" s="2" t="inlineStr">
        <is>
          <t>Tax</t>
        </is>
      </c>
      <c r="E13" s="14" t="n">
        <v>44927</v>
      </c>
      <c r="F13" s="15" t="n">
        <v>3600</v>
      </c>
      <c r="G13" s="8" t="n">
        <v>0.035</v>
      </c>
      <c r="H13" s="9" t="n">
        <v>47314</v>
      </c>
      <c r="I13" s="16">
        <f>G13*F13</f>
        <v/>
      </c>
    </row>
    <row r="14">
      <c r="A14" s="5" t="inlineStr">
        <is>
          <t>002006</t>
        </is>
      </c>
      <c r="B14" s="2" t="n">
        <v>2020</v>
      </c>
      <c r="C14" s="2" t="inlineStr">
        <is>
          <t>Bonus</t>
        </is>
      </c>
      <c r="D14" s="2" t="inlineStr">
        <is>
          <t>Interest</t>
        </is>
      </c>
      <c r="E14" s="14" t="n">
        <v>44927</v>
      </c>
      <c r="F14" s="15" t="n">
        <v>45</v>
      </c>
      <c r="G14" s="8" t="n">
        <v>0.035</v>
      </c>
      <c r="H14" s="9" t="n">
        <v>47314</v>
      </c>
      <c r="I14" s="16">
        <f>G14*F14</f>
        <v/>
      </c>
    </row>
    <row r="15">
      <c r="A15" s="5" t="inlineStr">
        <is>
          <t>003001</t>
        </is>
      </c>
      <c r="B15" s="2" t="n">
        <v>2021</v>
      </c>
      <c r="C15" s="2" t="inlineStr">
        <is>
          <t>Purchase</t>
        </is>
      </c>
      <c r="D15" s="2" t="inlineStr">
        <is>
          <t>Purchase</t>
        </is>
      </c>
      <c r="E15" s="14" t="n">
        <v>44197</v>
      </c>
      <c r="F15" s="15" t="n">
        <v>176000</v>
      </c>
      <c r="G15" s="8" t="n">
        <v>0.0095</v>
      </c>
      <c r="H15" s="9" t="n">
        <v>47679</v>
      </c>
      <c r="I15" s="16">
        <f>G15*F15</f>
        <v/>
      </c>
    </row>
    <row r="16">
      <c r="A16" s="5" t="inlineStr">
        <is>
          <t>003002</t>
        </is>
      </c>
      <c r="B16" s="2" t="n">
        <v>2021</v>
      </c>
      <c r="C16" s="2" t="inlineStr">
        <is>
          <t>Purchase</t>
        </is>
      </c>
      <c r="D16" s="2" t="inlineStr">
        <is>
          <t>Interest</t>
        </is>
      </c>
      <c r="E16" s="14" t="n">
        <v>44927</v>
      </c>
      <c r="F16" s="15" t="n">
        <v>1620</v>
      </c>
      <c r="G16" s="8" t="n">
        <v>0.035</v>
      </c>
      <c r="H16" s="9" t="n">
        <v>47679</v>
      </c>
      <c r="I16" s="16">
        <f>G16*F16</f>
        <v/>
      </c>
    </row>
    <row r="17">
      <c r="A17" s="5" t="inlineStr">
        <is>
          <t>003003</t>
        </is>
      </c>
      <c r="B17" s="2" t="n">
        <v>2021</v>
      </c>
      <c r="C17" s="2" t="inlineStr">
        <is>
          <t>Purchase</t>
        </is>
      </c>
      <c r="D17" s="2" t="inlineStr">
        <is>
          <t>Interest</t>
        </is>
      </c>
      <c r="E17" s="14" t="n">
        <v>45292</v>
      </c>
      <c r="F17" s="15" t="n">
        <v>1890</v>
      </c>
      <c r="G17" s="8" t="n">
        <v>0.04</v>
      </c>
      <c r="H17" s="9" t="n">
        <v>47679</v>
      </c>
      <c r="I17" s="16">
        <f>G17*F17</f>
        <v/>
      </c>
    </row>
    <row r="18">
      <c r="A18" s="5" t="inlineStr">
        <is>
          <t>004001</t>
        </is>
      </c>
      <c r="B18" s="2" t="n">
        <v>2022</v>
      </c>
      <c r="C18" s="2" t="inlineStr">
        <is>
          <t>Purchase</t>
        </is>
      </c>
      <c r="D18" s="2" t="inlineStr">
        <is>
          <t>Purchase</t>
        </is>
      </c>
      <c r="E18" s="14" t="n">
        <v>44562</v>
      </c>
      <c r="F18" s="15" t="n">
        <v>275000</v>
      </c>
      <c r="G18" s="8" t="n">
        <v>0.02</v>
      </c>
      <c r="H18" s="9" t="n">
        <v>48029</v>
      </c>
      <c r="I18" s="16">
        <f>G18*F18</f>
        <v/>
      </c>
    </row>
    <row r="19">
      <c r="A19" s="5" t="inlineStr">
        <is>
          <t>004002</t>
        </is>
      </c>
      <c r="B19" s="2" t="n">
        <v>2022</v>
      </c>
      <c r="C19" s="2" t="inlineStr">
        <is>
          <t>Purchase</t>
        </is>
      </c>
      <c r="D19" s="2" t="inlineStr">
        <is>
          <t>Interest</t>
        </is>
      </c>
      <c r="E19" s="14" t="n">
        <v>45292</v>
      </c>
      <c r="F19" s="15" t="n">
        <v>5340</v>
      </c>
      <c r="G19" s="8" t="n">
        <v>0.04</v>
      </c>
      <c r="H19" s="9" t="n">
        <v>48029</v>
      </c>
      <c r="I19" s="16">
        <f>G19*F19</f>
        <v/>
      </c>
    </row>
    <row r="20">
      <c r="A20" s="5" t="inlineStr">
        <is>
          <t>005001</t>
        </is>
      </c>
      <c r="B20" s="2" t="n">
        <v>2023</v>
      </c>
      <c r="C20" s="2" t="inlineStr">
        <is>
          <t>Purchase</t>
        </is>
      </c>
      <c r="D20" s="2" t="inlineStr">
        <is>
          <t>Purchase</t>
        </is>
      </c>
      <c r="E20" s="14" t="n">
        <v>44927</v>
      </c>
      <c r="F20" s="15" t="n">
        <v>372000</v>
      </c>
      <c r="G20" s="8" t="n">
        <v>0.035</v>
      </c>
      <c r="H20" s="9" t="n">
        <v>48395</v>
      </c>
      <c r="I20" s="16">
        <f>G20*F20</f>
        <v/>
      </c>
    </row>
    <row r="21">
      <c r="A21" s="5" t="inlineStr">
        <is>
          <t>005002</t>
        </is>
      </c>
      <c r="B21" s="2" t="n">
        <v>2023</v>
      </c>
      <c r="C21" s="2" t="inlineStr">
        <is>
          <t>Purchase</t>
        </is>
      </c>
      <c r="D21" s="2" t="inlineStr">
        <is>
          <t>Interest</t>
        </is>
      </c>
      <c r="E21" s="14" t="n">
        <v>45292</v>
      </c>
      <c r="F21" s="15" t="n">
        <v>12800</v>
      </c>
      <c r="G21" s="8" t="n">
        <v>0.04</v>
      </c>
      <c r="H21" s="9" t="n">
        <v>48395</v>
      </c>
      <c r="I21" s="16">
        <f>G21*F21</f>
        <v/>
      </c>
    </row>
    <row r="22">
      <c r="A22" s="5" t="inlineStr">
        <is>
          <t>006001</t>
        </is>
      </c>
      <c r="B22" s="2" t="n">
        <v>2024</v>
      </c>
      <c r="C22" s="2" t="inlineStr">
        <is>
          <t>Purchase</t>
        </is>
      </c>
      <c r="D22" s="2" t="inlineStr">
        <is>
          <t>Purchase</t>
        </is>
      </c>
      <c r="E22" s="14" t="n">
        <v>45292</v>
      </c>
      <c r="F22" s="15" t="n">
        <v>540000</v>
      </c>
      <c r="G22" s="8" t="n">
        <v>0.04</v>
      </c>
      <c r="H22" s="9" t="n">
        <v>48760</v>
      </c>
      <c r="I22" s="16">
        <f>G22*F22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Effective Date</t>
        </is>
      </c>
      <c r="B1" s="1" t="inlineStr">
        <is>
          <t>Share Price</t>
        </is>
      </c>
    </row>
    <row r="2">
      <c r="A2" s="12" t="n">
        <v>43830</v>
      </c>
      <c r="B2" s="3" t="n">
        <v>1.5</v>
      </c>
    </row>
    <row r="3">
      <c r="A3" s="12" t="n">
        <v>43891</v>
      </c>
      <c r="B3" s="3" t="n">
        <v>1.85</v>
      </c>
    </row>
    <row r="4">
      <c r="A4" s="12" t="n">
        <v>44256</v>
      </c>
      <c r="B4" s="3" t="n">
        <v>2.2</v>
      </c>
    </row>
    <row r="5">
      <c r="A5" s="12" t="n">
        <v>44621</v>
      </c>
      <c r="B5" s="3" t="n">
        <v>2.75</v>
      </c>
    </row>
    <row r="6">
      <c r="A6" s="12" t="n">
        <v>44986</v>
      </c>
      <c r="B6" s="3" t="n">
        <v>3.1</v>
      </c>
    </row>
    <row r="7">
      <c r="A7" s="12" t="n">
        <v>45352</v>
      </c>
      <c r="B7" s="3" t="n">
        <v>3.6</v>
      </c>
    </row>
    <row r="8">
      <c r="A8" s="12" t="n">
        <v>45717</v>
      </c>
      <c r="B8" s="3" t="n">
        <v>4.25</v>
      </c>
    </row>
    <row r="9">
      <c r="A9" s="12" t="n">
        <v>46082</v>
      </c>
      <c r="B9" s="3" t="n">
        <v>5.1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Event Date</t>
        </is>
      </c>
      <c r="B1" s="11" t="inlineStr">
        <is>
          <t>Grant Year</t>
        </is>
      </c>
      <c r="C1" s="11" t="inlineStr">
        <is>
          <t>Grant Type</t>
        </is>
      </c>
      <c r="D1" s="11" t="inlineStr">
        <is>
          <t>Event Type</t>
        </is>
      </c>
      <c r="E1" s="11" t="inlineStr">
        <is>
          <t>Granted Shares</t>
        </is>
      </c>
      <c r="F1" s="11" t="inlineStr">
        <is>
          <t>Grant Price</t>
        </is>
      </c>
      <c r="G1" s="11" t="inlineStr">
        <is>
          <t>Exercise Price</t>
        </is>
      </c>
      <c r="H1" s="11" t="inlineStr">
        <is>
          <t>Vested Shares</t>
        </is>
      </c>
      <c r="I1" s="11" t="inlineStr">
        <is>
          <t>Tot Vested Shares</t>
        </is>
      </c>
      <c r="J1" s="11" t="inlineStr">
        <is>
          <t>Price Increase</t>
        </is>
      </c>
      <c r="K1" s="11" t="inlineStr">
        <is>
          <t>Share Price</t>
        </is>
      </c>
      <c r="L1" s="11" t="inlineStr">
        <is>
          <t>Income Gains</t>
        </is>
      </c>
      <c r="M1" s="11" t="inlineStr">
        <is>
          <t>Cumulative Income</t>
        </is>
      </c>
      <c r="N1" s="11" t="inlineStr">
        <is>
          <t>Vesting Cap Gains</t>
        </is>
      </c>
      <c r="O1" s="11" t="inlineStr">
        <is>
          <t>Price Increase Cap Gains</t>
        </is>
      </c>
      <c r="P1" s="11" t="inlineStr">
        <is>
          <t>Total Cap Gains</t>
        </is>
      </c>
      <c r="Q1" s="11" t="inlineStr">
        <is>
          <t>Cumulative Cap Gains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2026-03-20T09:06:02Z</dcterms:created>
  <dcterms:modified xsi:type="dcterms:W3CDTF">2026-03-22T22:33:42Z</dcterms:modified>
</cp:coreProperties>
</file>